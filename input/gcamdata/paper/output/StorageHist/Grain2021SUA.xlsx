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CAM_local\Stach_GCAM_v9p1_StoragePaper\input\gcamdata\paper\output\StorageHist\"/>
    </mc:Choice>
  </mc:AlternateContent>
  <xr:revisionPtr revIDLastSave="0" documentId="13_ncr:9_{2B367663-2992-41BC-A9A7-948549D2930C}" xr6:coauthVersionLast="47" xr6:coauthVersionMax="47" xr10:uidLastSave="{00000000-0000-0000-0000-000000000000}"/>
  <bookViews>
    <workbookView xWindow="-113" yWindow="-113" windowWidth="24267" windowHeight="13023" activeTab="1" xr2:uid="{68834A02-6D3E-493B-A5CE-40F6C5BE8D08}"/>
  </bookViews>
  <sheets>
    <sheet name="Grain2021SUA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F3" i="2"/>
  <c r="F4" i="2"/>
  <c r="F5" i="2"/>
  <c r="F6" i="2"/>
  <c r="F7" i="2"/>
  <c r="F8" i="2"/>
  <c r="F9" i="2"/>
  <c r="F10" i="2"/>
  <c r="F11" i="2"/>
  <c r="F12" i="2"/>
  <c r="F2" i="2"/>
  <c r="I2" i="2"/>
  <c r="M3" i="2"/>
  <c r="J3" i="2" s="1"/>
  <c r="M4" i="2"/>
  <c r="J4" i="2" s="1"/>
  <c r="M5" i="2"/>
  <c r="J5" i="2" s="1"/>
  <c r="M6" i="2"/>
  <c r="J6" i="2" s="1"/>
  <c r="M7" i="2"/>
  <c r="J7" i="2" s="1"/>
  <c r="M8" i="2"/>
  <c r="J8" i="2" s="1"/>
  <c r="M9" i="2"/>
  <c r="J9" i="2" s="1"/>
  <c r="M10" i="2"/>
  <c r="J10" i="2" s="1"/>
  <c r="M11" i="2"/>
  <c r="J11" i="2" s="1"/>
  <c r="M12" i="2"/>
  <c r="J12" i="2" s="1"/>
  <c r="M2" i="2"/>
  <c r="J2" i="2" s="1"/>
</calcChain>
</file>

<file path=xl/sharedStrings.xml><?xml version="1.0" encoding="utf-8"?>
<sst xmlns="http://schemas.openxmlformats.org/spreadsheetml/2006/main" count="87" uniqueCount="38">
  <si>
    <t>scenario</t>
  </si>
  <si>
    <t>branch</t>
  </si>
  <si>
    <t>year</t>
  </si>
  <si>
    <t>region</t>
  </si>
  <si>
    <t>sector</t>
  </si>
  <si>
    <t>Bioenergy</t>
  </si>
  <si>
    <t>Closing stocks</t>
  </si>
  <si>
    <t>Export</t>
  </si>
  <si>
    <t>Feed</t>
  </si>
  <si>
    <t>Food</t>
  </si>
  <si>
    <t>Import</t>
  </si>
  <si>
    <t>Opening stocks</t>
  </si>
  <si>
    <t>Other use</t>
  </si>
  <si>
    <t>Production</t>
  </si>
  <si>
    <t>Stock loss</t>
  </si>
  <si>
    <t>S1_Dynamic</t>
  </si>
  <si>
    <t>GCAMv9.1</t>
  </si>
  <si>
    <t>Africa</t>
  </si>
  <si>
    <t>Grains</t>
  </si>
  <si>
    <t>China</t>
  </si>
  <si>
    <t>Europe</t>
  </si>
  <si>
    <t>Latin America</t>
  </si>
  <si>
    <t>Middle East</t>
  </si>
  <si>
    <t>NA</t>
  </si>
  <si>
    <t>North America</t>
  </si>
  <si>
    <t>Pacific OECD</t>
  </si>
  <si>
    <t>Reforming</t>
  </si>
  <si>
    <t>Rest of Asia</t>
  </si>
  <si>
    <t>South Asia</t>
  </si>
  <si>
    <t>World</t>
  </si>
  <si>
    <t>Gross supply</t>
  </si>
  <si>
    <t>Domestic 
consumption</t>
  </si>
  <si>
    <t>Region</t>
  </si>
  <si>
    <t>Opening 
stocks</t>
  </si>
  <si>
    <t>Closing 
stocks</t>
  </si>
  <si>
    <t>Stock 
loss</t>
  </si>
  <si>
    <t>Stock-to-
gross-
supply</t>
  </si>
  <si>
    <t>Stock-to-
gross-
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</si>
</sst>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1" fontId="18" fillId="0" borderId="0" xfId="0" applyNumberFormat="1" applyFont="1" applyAlignment="1">
      <alignment horizontal="center" vertical="center"/>
    </xf>
    <xf numFmtId="9" fontId="18" fillId="0" borderId="0" xfId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481C-F6E5-4D09-AB40-2899AF56797D}">
  <dimension ref="A1:O12"/>
  <sheetViews>
    <sheetView workbookViewId="0">
      <selection activeCell="D13" sqref="A1:XFD1048576"/>
    </sheetView>
  </sheetViews>
  <sheetFormatPr defaultRowHeight="15.0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2021</v>
      </c>
      <c r="D2" t="s">
        <v>17</v>
      </c>
      <c r="E2" t="s">
        <v>18</v>
      </c>
      <c r="F2">
        <v>0.28544449</v>
      </c>
      <c r="G2">
        <v>136.784279</v>
      </c>
      <c r="H2">
        <v>9.7358764999999998</v>
      </c>
      <c r="I2">
        <v>73.6750452</v>
      </c>
      <c r="J2">
        <v>188.76672099999999</v>
      </c>
      <c r="K2">
        <v>105.976018</v>
      </c>
      <c r="L2">
        <v>131.27923200000001</v>
      </c>
      <c r="M2">
        <v>36.689364599999998</v>
      </c>
      <c r="N2">
        <v>217.86032739050799</v>
      </c>
      <c r="O2">
        <v>9.1791645000000006</v>
      </c>
    </row>
    <row r="3" spans="1:15" x14ac:dyDescent="0.3">
      <c r="A3" t="s">
        <v>15</v>
      </c>
      <c r="B3" t="s">
        <v>16</v>
      </c>
      <c r="C3">
        <v>2021</v>
      </c>
      <c r="D3" t="s">
        <v>19</v>
      </c>
      <c r="E3" t="s">
        <v>18</v>
      </c>
      <c r="F3">
        <v>8.7554200000000009</v>
      </c>
      <c r="G3">
        <v>524.32742150000001</v>
      </c>
      <c r="H3">
        <v>13.681215999999999</v>
      </c>
      <c r="I3">
        <v>285.27409720000003</v>
      </c>
      <c r="J3">
        <v>294.231876</v>
      </c>
      <c r="K3">
        <v>64.036051</v>
      </c>
      <c r="L3">
        <v>525.36865360000002</v>
      </c>
      <c r="M3">
        <v>73.198414700000001</v>
      </c>
      <c r="N3">
        <v>629.35209423564697</v>
      </c>
      <c r="O3">
        <v>19.289508900000001</v>
      </c>
    </row>
    <row r="4" spans="1:15" x14ac:dyDescent="0.3">
      <c r="A4" t="s">
        <v>15</v>
      </c>
      <c r="B4" t="s">
        <v>16</v>
      </c>
      <c r="C4">
        <v>2021</v>
      </c>
      <c r="D4" t="s">
        <v>20</v>
      </c>
      <c r="E4" t="s">
        <v>18</v>
      </c>
      <c r="F4">
        <v>14.479156999999899</v>
      </c>
      <c r="G4">
        <v>179.70474150000001</v>
      </c>
      <c r="H4">
        <v>99.826220899999996</v>
      </c>
      <c r="I4">
        <v>220.476212</v>
      </c>
      <c r="J4">
        <v>82.271791100000002</v>
      </c>
      <c r="K4">
        <v>92.731358999999998</v>
      </c>
      <c r="L4">
        <v>177.56447940000001</v>
      </c>
      <c r="M4">
        <v>35.8702994</v>
      </c>
      <c r="N4">
        <v>367.96734278871401</v>
      </c>
      <c r="O4">
        <v>5.6361550999999999</v>
      </c>
    </row>
    <row r="5" spans="1:15" x14ac:dyDescent="0.3">
      <c r="A5" t="s">
        <v>15</v>
      </c>
      <c r="B5" t="s">
        <v>16</v>
      </c>
      <c r="C5">
        <v>2021</v>
      </c>
      <c r="D5" t="s">
        <v>21</v>
      </c>
      <c r="E5" t="s">
        <v>18</v>
      </c>
      <c r="F5">
        <v>4.4034300000000002</v>
      </c>
      <c r="G5">
        <v>55.374439099999996</v>
      </c>
      <c r="H5">
        <v>103.6031754</v>
      </c>
      <c r="I5">
        <v>144.27291529999999</v>
      </c>
      <c r="J5">
        <v>84.871203399999999</v>
      </c>
      <c r="K5">
        <v>77.710233399999893</v>
      </c>
      <c r="L5">
        <v>51.651966799999997</v>
      </c>
      <c r="M5">
        <v>25.141946900000001</v>
      </c>
      <c r="N5">
        <v>290.094180337642</v>
      </c>
      <c r="O5">
        <v>1.78966599999999</v>
      </c>
    </row>
    <row r="6" spans="1:15" x14ac:dyDescent="0.3">
      <c r="A6" t="s">
        <v>15</v>
      </c>
      <c r="B6" t="s">
        <v>16</v>
      </c>
      <c r="C6">
        <v>2021</v>
      </c>
      <c r="D6" t="s">
        <v>22</v>
      </c>
      <c r="E6" t="s">
        <v>18</v>
      </c>
      <c r="F6" t="s">
        <v>23</v>
      </c>
      <c r="G6">
        <v>35.814009999999897</v>
      </c>
      <c r="H6">
        <v>1.343089</v>
      </c>
      <c r="I6">
        <v>37.789470000000001</v>
      </c>
      <c r="J6">
        <v>42.472200000000001</v>
      </c>
      <c r="K6">
        <v>56.063069999999897</v>
      </c>
      <c r="L6">
        <v>38.91198</v>
      </c>
      <c r="M6">
        <v>3.261034</v>
      </c>
      <c r="N6">
        <v>26.820768416261998</v>
      </c>
      <c r="O6">
        <v>1.11595</v>
      </c>
    </row>
    <row r="7" spans="1:15" x14ac:dyDescent="0.3">
      <c r="A7" t="s">
        <v>15</v>
      </c>
      <c r="B7" t="s">
        <v>16</v>
      </c>
      <c r="C7">
        <v>2021</v>
      </c>
      <c r="D7" t="s">
        <v>24</v>
      </c>
      <c r="E7" t="s">
        <v>18</v>
      </c>
      <c r="F7">
        <v>138.52800999999999</v>
      </c>
      <c r="G7">
        <v>92.022869999999998</v>
      </c>
      <c r="H7">
        <v>132.84476999999899</v>
      </c>
      <c r="I7">
        <v>186.97010610000001</v>
      </c>
      <c r="J7">
        <v>39.561199999999999</v>
      </c>
      <c r="K7">
        <v>19.663532</v>
      </c>
      <c r="L7">
        <v>106.40441180000001</v>
      </c>
      <c r="M7">
        <v>23.3115673</v>
      </c>
      <c r="N7">
        <v>491.24604312577998</v>
      </c>
      <c r="O7">
        <v>4.0750953999999897</v>
      </c>
    </row>
    <row r="8" spans="1:15" x14ac:dyDescent="0.3">
      <c r="A8" t="s">
        <v>15</v>
      </c>
      <c r="B8" t="s">
        <v>16</v>
      </c>
      <c r="C8">
        <v>2021</v>
      </c>
      <c r="D8" t="s">
        <v>25</v>
      </c>
      <c r="E8" t="s">
        <v>18</v>
      </c>
      <c r="F8">
        <v>2.5316239999999999</v>
      </c>
      <c r="G8">
        <v>23.703870500000001</v>
      </c>
      <c r="H8">
        <v>32.350849500000002</v>
      </c>
      <c r="I8">
        <v>40.622233099999903</v>
      </c>
      <c r="J8">
        <v>26.250892</v>
      </c>
      <c r="K8">
        <v>46.196422800000001</v>
      </c>
      <c r="L8">
        <v>23.008387800000001</v>
      </c>
      <c r="M8">
        <v>6.07064</v>
      </c>
      <c r="N8">
        <v>62.596405756656999</v>
      </c>
      <c r="O8">
        <v>0.27098040000000001</v>
      </c>
    </row>
    <row r="9" spans="1:15" x14ac:dyDescent="0.3">
      <c r="A9" t="s">
        <v>15</v>
      </c>
      <c r="B9" t="s">
        <v>16</v>
      </c>
      <c r="C9">
        <v>2021</v>
      </c>
      <c r="D9" t="s">
        <v>26</v>
      </c>
      <c r="E9" t="s">
        <v>18</v>
      </c>
      <c r="F9">
        <v>0.24801782999999999</v>
      </c>
      <c r="G9">
        <v>62.725043100000001</v>
      </c>
      <c r="H9">
        <v>89.254566599999904</v>
      </c>
      <c r="I9">
        <v>68.252107100000003</v>
      </c>
      <c r="J9">
        <v>39.901348999999897</v>
      </c>
      <c r="K9">
        <v>6.7505050999999998</v>
      </c>
      <c r="L9">
        <v>43.5634497</v>
      </c>
      <c r="M9">
        <v>25.957355</v>
      </c>
      <c r="N9">
        <v>236.98769289197099</v>
      </c>
      <c r="O9">
        <v>0.96852490000000102</v>
      </c>
    </row>
    <row r="10" spans="1:15" x14ac:dyDescent="0.3">
      <c r="A10" t="s">
        <v>15</v>
      </c>
      <c r="B10" t="s">
        <v>16</v>
      </c>
      <c r="C10">
        <v>2021</v>
      </c>
      <c r="D10" t="s">
        <v>27</v>
      </c>
      <c r="E10" t="s">
        <v>18</v>
      </c>
      <c r="F10" t="s">
        <v>23</v>
      </c>
      <c r="G10">
        <v>105.521543999999</v>
      </c>
      <c r="H10">
        <v>20.598637799999999</v>
      </c>
      <c r="I10">
        <v>78.647420100000005</v>
      </c>
      <c r="J10">
        <v>145.91532599999999</v>
      </c>
      <c r="K10">
        <v>49.994422</v>
      </c>
      <c r="L10">
        <v>99.163634999999999</v>
      </c>
      <c r="M10">
        <v>33.895809999999997</v>
      </c>
      <c r="N10">
        <v>240.34406224393999</v>
      </c>
      <c r="O10">
        <v>4.9230759999999902</v>
      </c>
    </row>
    <row r="11" spans="1:15" x14ac:dyDescent="0.3">
      <c r="A11" t="s">
        <v>15</v>
      </c>
      <c r="B11" t="s">
        <v>16</v>
      </c>
      <c r="C11">
        <v>2021</v>
      </c>
      <c r="D11" t="s">
        <v>28</v>
      </c>
      <c r="E11" t="s">
        <v>18</v>
      </c>
      <c r="F11">
        <v>9.5134899999999991</v>
      </c>
      <c r="G11">
        <v>109.94945370000001</v>
      </c>
      <c r="H11">
        <v>43.135128299999998</v>
      </c>
      <c r="I11">
        <v>99.253647000000001</v>
      </c>
      <c r="J11">
        <v>316.69016699999997</v>
      </c>
      <c r="K11">
        <v>27.252093500000001</v>
      </c>
      <c r="L11">
        <v>104.12183049999901</v>
      </c>
      <c r="M11">
        <v>30.550635700000001</v>
      </c>
      <c r="N11">
        <v>482.14306131674198</v>
      </c>
      <c r="O11">
        <v>4.4247021000000002</v>
      </c>
    </row>
    <row r="12" spans="1:15" x14ac:dyDescent="0.3">
      <c r="A12" t="s">
        <v>15</v>
      </c>
      <c r="B12" t="s">
        <v>16</v>
      </c>
      <c r="C12">
        <v>2021</v>
      </c>
      <c r="D12" t="s">
        <v>29</v>
      </c>
      <c r="E12" t="s">
        <v>18</v>
      </c>
      <c r="F12">
        <v>178.74459332000001</v>
      </c>
      <c r="G12">
        <v>1325.9276723999999</v>
      </c>
      <c r="H12">
        <v>546.37352999999996</v>
      </c>
      <c r="I12">
        <v>1235.2332531</v>
      </c>
      <c r="J12">
        <v>1260.9327255000001</v>
      </c>
      <c r="K12">
        <v>546.37370680000004</v>
      </c>
      <c r="L12">
        <v>1301.0380266</v>
      </c>
      <c r="M12">
        <v>293.94706760000003</v>
      </c>
      <c r="N12">
        <v>3045.4119785038602</v>
      </c>
      <c r="O12">
        <v>51.672823299999997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4B4A-B60D-414A-A339-A0F47461BB7F}">
  <dimension ref="A1:Q12"/>
  <sheetViews>
    <sheetView tabSelected="1" workbookViewId="0">
      <selection activeCell="J1" sqref="A1:J12"/>
    </sheetView>
  </sheetViews>
  <sheetFormatPr defaultRowHeight="15.05" x14ac:dyDescent="0.3"/>
  <cols>
    <col min="1" max="1" width="12.109375" bestFit="1" customWidth="1"/>
    <col min="2" max="10" width="10.33203125" customWidth="1"/>
    <col min="13" max="13" width="11.21875" bestFit="1" customWidth="1"/>
    <col min="14" max="17" width="12" bestFit="1" customWidth="1"/>
  </cols>
  <sheetData>
    <row r="1" spans="1:17" ht="37.6" x14ac:dyDescent="0.3">
      <c r="A1" s="3" t="s">
        <v>32</v>
      </c>
      <c r="B1" s="4" t="s">
        <v>33</v>
      </c>
      <c r="C1" s="3" t="s">
        <v>13</v>
      </c>
      <c r="D1" s="3" t="s">
        <v>10</v>
      </c>
      <c r="E1" s="3" t="s">
        <v>7</v>
      </c>
      <c r="F1" s="4" t="s">
        <v>31</v>
      </c>
      <c r="G1" s="4" t="s">
        <v>34</v>
      </c>
      <c r="H1" s="4" t="s">
        <v>35</v>
      </c>
      <c r="I1" s="4" t="s">
        <v>37</v>
      </c>
      <c r="J1" s="4" t="s">
        <v>36</v>
      </c>
      <c r="M1" s="1" t="s">
        <v>30</v>
      </c>
      <c r="N1" s="1" t="s">
        <v>5</v>
      </c>
      <c r="O1" s="1" t="s">
        <v>8</v>
      </c>
      <c r="P1" s="1" t="s">
        <v>9</v>
      </c>
      <c r="Q1" s="1" t="s">
        <v>12</v>
      </c>
    </row>
    <row r="2" spans="1:17" x14ac:dyDescent="0.3">
      <c r="A2" s="5" t="s">
        <v>17</v>
      </c>
      <c r="B2" s="6">
        <v>131.27923200000001</v>
      </c>
      <c r="C2" s="6">
        <v>217.86032739050799</v>
      </c>
      <c r="D2" s="6">
        <v>105.976018</v>
      </c>
      <c r="E2" s="6">
        <v>9.7358764999999998</v>
      </c>
      <c r="F2" s="6">
        <f>SUM(N2:Q2)</f>
        <v>299.41657528999997</v>
      </c>
      <c r="G2" s="6">
        <v>136.784279</v>
      </c>
      <c r="H2" s="6">
        <v>9.1791645000000006</v>
      </c>
      <c r="I2" s="7">
        <f>G2/SUM(F2:H2)</f>
        <v>0.30711813109984804</v>
      </c>
      <c r="J2" s="7">
        <f>B2/M2</f>
        <v>0.37600789847238686</v>
      </c>
      <c r="M2" s="2">
        <f>B2+C2</f>
        <v>349.139559390508</v>
      </c>
      <c r="N2" s="2">
        <v>0.28544449</v>
      </c>
      <c r="O2" s="2">
        <v>73.6750452</v>
      </c>
      <c r="P2" s="2">
        <v>188.76672099999999</v>
      </c>
      <c r="Q2" s="2">
        <v>36.689364599999998</v>
      </c>
    </row>
    <row r="3" spans="1:17" x14ac:dyDescent="0.3">
      <c r="A3" s="5" t="s">
        <v>19</v>
      </c>
      <c r="B3" s="6">
        <v>525.36865360000002</v>
      </c>
      <c r="C3" s="6">
        <v>629.35209423564697</v>
      </c>
      <c r="D3" s="6">
        <v>64.036051</v>
      </c>
      <c r="E3" s="6">
        <v>13.681215999999999</v>
      </c>
      <c r="F3" s="6">
        <f t="shared" ref="F3:F12" si="0">SUM(N3:Q3)</f>
        <v>661.45980789999999</v>
      </c>
      <c r="G3" s="6">
        <v>524.32742150000001</v>
      </c>
      <c r="H3" s="6">
        <v>19.289508900000001</v>
      </c>
      <c r="I3" s="7">
        <f t="shared" ref="I3:I12" si="1">G3/SUM(F3:H3)</f>
        <v>0.43509878237270427</v>
      </c>
      <c r="J3" s="7">
        <f>B3/M3</f>
        <v>0.4549746374478208</v>
      </c>
      <c r="M3" s="2">
        <f>B3+C3</f>
        <v>1154.720747835647</v>
      </c>
      <c r="N3" s="2">
        <v>8.7554200000000009</v>
      </c>
      <c r="O3" s="2">
        <v>285.27409720000003</v>
      </c>
      <c r="P3" s="2">
        <v>294.231876</v>
      </c>
      <c r="Q3" s="2">
        <v>73.198414700000001</v>
      </c>
    </row>
    <row r="4" spans="1:17" x14ac:dyDescent="0.3">
      <c r="A4" s="5" t="s">
        <v>20</v>
      </c>
      <c r="B4" s="6">
        <v>177.56447940000001</v>
      </c>
      <c r="C4" s="6">
        <v>367.96734278871401</v>
      </c>
      <c r="D4" s="6">
        <v>92.731358999999998</v>
      </c>
      <c r="E4" s="6">
        <v>99.826220899999996</v>
      </c>
      <c r="F4" s="6">
        <f t="shared" si="0"/>
        <v>353.0974594999999</v>
      </c>
      <c r="G4" s="6">
        <v>179.70474150000001</v>
      </c>
      <c r="H4" s="6">
        <v>5.6361550999999999</v>
      </c>
      <c r="I4" s="7">
        <f t="shared" si="1"/>
        <v>0.33375174607104857</v>
      </c>
      <c r="J4" s="7">
        <f>B4/M4</f>
        <v>0.32548876560050738</v>
      </c>
      <c r="M4" s="2">
        <f>B4+C4</f>
        <v>545.53182218871405</v>
      </c>
      <c r="N4" s="2">
        <v>14.479156999999899</v>
      </c>
      <c r="O4" s="2">
        <v>220.476212</v>
      </c>
      <c r="P4" s="2">
        <v>82.271791100000002</v>
      </c>
      <c r="Q4" s="2">
        <v>35.8702994</v>
      </c>
    </row>
    <row r="5" spans="1:17" x14ac:dyDescent="0.3">
      <c r="A5" s="5" t="s">
        <v>21</v>
      </c>
      <c r="B5" s="6">
        <v>51.651966799999997</v>
      </c>
      <c r="C5" s="6">
        <v>290.094180337642</v>
      </c>
      <c r="D5" s="6">
        <v>77.710233399999893</v>
      </c>
      <c r="E5" s="6">
        <v>103.6031754</v>
      </c>
      <c r="F5" s="6">
        <f t="shared" si="0"/>
        <v>258.68949559999999</v>
      </c>
      <c r="G5" s="6">
        <v>55.374439099999996</v>
      </c>
      <c r="H5" s="6">
        <v>1.78966599999999</v>
      </c>
      <c r="I5" s="7">
        <f t="shared" si="1"/>
        <v>0.17531678909874146</v>
      </c>
      <c r="J5" s="7">
        <f>B5/M5</f>
        <v>0.1511413288273199</v>
      </c>
      <c r="M5" s="2">
        <f>B5+C5</f>
        <v>341.74614713764197</v>
      </c>
      <c r="N5" s="2">
        <v>4.4034300000000002</v>
      </c>
      <c r="O5" s="2">
        <v>144.27291529999999</v>
      </c>
      <c r="P5" s="2">
        <v>84.871203399999999</v>
      </c>
      <c r="Q5" s="2">
        <v>25.141946900000001</v>
      </c>
    </row>
    <row r="6" spans="1:17" x14ac:dyDescent="0.3">
      <c r="A6" s="5" t="s">
        <v>22</v>
      </c>
      <c r="B6" s="6">
        <v>38.91198</v>
      </c>
      <c r="C6" s="6">
        <v>26.820768416261998</v>
      </c>
      <c r="D6" s="6">
        <v>56.063069999999897</v>
      </c>
      <c r="E6" s="6">
        <v>1.343089</v>
      </c>
      <c r="F6" s="6">
        <f t="shared" si="0"/>
        <v>83.522704000000004</v>
      </c>
      <c r="G6" s="6">
        <v>35.814009999999897</v>
      </c>
      <c r="H6" s="6">
        <v>1.11595</v>
      </c>
      <c r="I6" s="7">
        <f t="shared" si="1"/>
        <v>0.29732850076275547</v>
      </c>
      <c r="J6" s="7">
        <f>B6/M6</f>
        <v>0.59197250894766096</v>
      </c>
      <c r="M6" s="2">
        <f>B6+C6</f>
        <v>65.732748416261998</v>
      </c>
      <c r="N6" s="2">
        <v>0</v>
      </c>
      <c r="O6" s="2">
        <v>37.789470000000001</v>
      </c>
      <c r="P6" s="2">
        <v>42.472200000000001</v>
      </c>
      <c r="Q6" s="2">
        <v>3.261034</v>
      </c>
    </row>
    <row r="7" spans="1:17" x14ac:dyDescent="0.3">
      <c r="A7" s="5" t="s">
        <v>24</v>
      </c>
      <c r="B7" s="6">
        <v>106.40441180000001</v>
      </c>
      <c r="C7" s="6">
        <v>491.24604312577998</v>
      </c>
      <c r="D7" s="6">
        <v>19.663532</v>
      </c>
      <c r="E7" s="6">
        <v>132.84476999999899</v>
      </c>
      <c r="F7" s="6">
        <f t="shared" si="0"/>
        <v>388.37088339999997</v>
      </c>
      <c r="G7" s="6">
        <v>92.022869999999998</v>
      </c>
      <c r="H7" s="6">
        <v>4.0750953999999897</v>
      </c>
      <c r="I7" s="7">
        <f t="shared" si="1"/>
        <v>0.18994589688879909</v>
      </c>
      <c r="J7" s="7">
        <f>B7/M7</f>
        <v>0.17803786631972693</v>
      </c>
      <c r="M7" s="2">
        <f>B7+C7</f>
        <v>597.65045492577997</v>
      </c>
      <c r="N7" s="2">
        <v>138.52800999999999</v>
      </c>
      <c r="O7" s="2">
        <v>186.97010610000001</v>
      </c>
      <c r="P7" s="2">
        <v>39.561199999999999</v>
      </c>
      <c r="Q7" s="2">
        <v>23.3115673</v>
      </c>
    </row>
    <row r="8" spans="1:17" x14ac:dyDescent="0.3">
      <c r="A8" s="5" t="s">
        <v>25</v>
      </c>
      <c r="B8" s="6">
        <v>23.008387800000001</v>
      </c>
      <c r="C8" s="6">
        <v>62.596405756656999</v>
      </c>
      <c r="D8" s="6">
        <v>46.196422800000001</v>
      </c>
      <c r="E8" s="6">
        <v>32.350849500000002</v>
      </c>
      <c r="F8" s="6">
        <f t="shared" si="0"/>
        <v>75.475389099999902</v>
      </c>
      <c r="G8" s="6">
        <v>23.703870500000001</v>
      </c>
      <c r="H8" s="6">
        <v>0.27098040000000001</v>
      </c>
      <c r="I8" s="7">
        <f t="shared" si="1"/>
        <v>0.23834905275241189</v>
      </c>
      <c r="J8" s="7">
        <f>B8/M8</f>
        <v>0.26877452586544753</v>
      </c>
      <c r="M8" s="2">
        <f>B8+C8</f>
        <v>85.604793556657</v>
      </c>
      <c r="N8" s="2">
        <v>2.5316239999999999</v>
      </c>
      <c r="O8" s="2">
        <v>40.622233099999903</v>
      </c>
      <c r="P8" s="2">
        <v>26.250892</v>
      </c>
      <c r="Q8" s="2">
        <v>6.07064</v>
      </c>
    </row>
    <row r="9" spans="1:17" x14ac:dyDescent="0.3">
      <c r="A9" s="5" t="s">
        <v>26</v>
      </c>
      <c r="B9" s="6">
        <v>43.5634497</v>
      </c>
      <c r="C9" s="6">
        <v>236.98769289197099</v>
      </c>
      <c r="D9" s="6">
        <v>6.7505050999999998</v>
      </c>
      <c r="E9" s="6">
        <v>89.254566599999904</v>
      </c>
      <c r="F9" s="6">
        <f t="shared" si="0"/>
        <v>134.3588289299999</v>
      </c>
      <c r="G9" s="6">
        <v>62.725043100000001</v>
      </c>
      <c r="H9" s="6">
        <v>0.96852490000000102</v>
      </c>
      <c r="I9" s="7">
        <f t="shared" si="1"/>
        <v>0.31670933587423172</v>
      </c>
      <c r="J9" s="7">
        <f>B9/M9</f>
        <v>0.15527810472459197</v>
      </c>
      <c r="M9" s="2">
        <f>B9+C9</f>
        <v>280.55114259197097</v>
      </c>
      <c r="N9" s="2">
        <v>0.24801782999999999</v>
      </c>
      <c r="O9" s="2">
        <v>68.252107100000003</v>
      </c>
      <c r="P9" s="2">
        <v>39.901348999999897</v>
      </c>
      <c r="Q9" s="2">
        <v>25.957355</v>
      </c>
    </row>
    <row r="10" spans="1:17" x14ac:dyDescent="0.3">
      <c r="A10" s="5" t="s">
        <v>27</v>
      </c>
      <c r="B10" s="6">
        <v>99.163634999999999</v>
      </c>
      <c r="C10" s="6">
        <v>240.34406224393999</v>
      </c>
      <c r="D10" s="6">
        <v>49.994422</v>
      </c>
      <c r="E10" s="6">
        <v>20.598637799999999</v>
      </c>
      <c r="F10" s="6">
        <f t="shared" si="0"/>
        <v>258.45855610000001</v>
      </c>
      <c r="G10" s="6">
        <v>105.521543999999</v>
      </c>
      <c r="H10" s="6">
        <v>4.9230759999999902</v>
      </c>
      <c r="I10" s="7">
        <f t="shared" si="1"/>
        <v>0.2860412998217049</v>
      </c>
      <c r="J10" s="7">
        <f>B10/M10</f>
        <v>0.29208066799366211</v>
      </c>
      <c r="M10" s="2">
        <f>B10+C10</f>
        <v>339.50769724394002</v>
      </c>
      <c r="N10" s="2">
        <v>0</v>
      </c>
      <c r="O10" s="2">
        <v>78.647420100000005</v>
      </c>
      <c r="P10" s="2">
        <v>145.91532599999999</v>
      </c>
      <c r="Q10" s="2">
        <v>33.895809999999997</v>
      </c>
    </row>
    <row r="11" spans="1:17" x14ac:dyDescent="0.3">
      <c r="A11" s="5" t="s">
        <v>28</v>
      </c>
      <c r="B11" s="6">
        <v>104.12183049999901</v>
      </c>
      <c r="C11" s="6">
        <v>482.14306131674198</v>
      </c>
      <c r="D11" s="6">
        <v>27.252093500000001</v>
      </c>
      <c r="E11" s="6">
        <v>43.135128299999998</v>
      </c>
      <c r="F11" s="6">
        <f t="shared" si="0"/>
        <v>456.00793969999995</v>
      </c>
      <c r="G11" s="6">
        <v>109.94945370000001</v>
      </c>
      <c r="H11" s="6">
        <v>4.4247021000000002</v>
      </c>
      <c r="I11" s="7">
        <f t="shared" si="1"/>
        <v>0.19276456005095624</v>
      </c>
      <c r="J11" s="7">
        <f>B11/M11</f>
        <v>0.17760202248738133</v>
      </c>
      <c r="M11" s="2">
        <f>B11+C11</f>
        <v>586.26489181674094</v>
      </c>
      <c r="N11" s="2">
        <v>9.5134899999999991</v>
      </c>
      <c r="O11" s="2">
        <v>99.253647000000001</v>
      </c>
      <c r="P11" s="2">
        <v>316.69016699999997</v>
      </c>
      <c r="Q11" s="2">
        <v>30.550635700000001</v>
      </c>
    </row>
    <row r="12" spans="1:17" x14ac:dyDescent="0.3">
      <c r="A12" s="5" t="s">
        <v>29</v>
      </c>
      <c r="B12" s="6">
        <v>1301.0380266</v>
      </c>
      <c r="C12" s="6">
        <v>3045.4119785038602</v>
      </c>
      <c r="D12" s="6">
        <v>546.37370680000004</v>
      </c>
      <c r="E12" s="6">
        <v>546.37352999999996</v>
      </c>
      <c r="F12" s="6">
        <f t="shared" si="0"/>
        <v>2968.8576395199998</v>
      </c>
      <c r="G12" s="6">
        <v>1325.9276723999999</v>
      </c>
      <c r="H12" s="6">
        <v>51.672823299999997</v>
      </c>
      <c r="I12" s="7">
        <f t="shared" si="1"/>
        <v>0.30505934513801242</v>
      </c>
      <c r="J12" s="7">
        <f>B12/M12</f>
        <v>0.29933348481455985</v>
      </c>
      <c r="M12" s="2">
        <f>B12+C12</f>
        <v>4346.4500051038603</v>
      </c>
      <c r="N12" s="2">
        <v>178.74459332000001</v>
      </c>
      <c r="O12" s="2">
        <v>1235.2332531</v>
      </c>
      <c r="P12" s="2">
        <v>1260.9327255000001</v>
      </c>
      <c r="Q12" s="2">
        <v>293.94706760000003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Grain2021SUA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Xin</cp:lastModifiedBy>
  <dcterms:created xsi:type="dcterms:W3CDTF">2026-08-23T20:56:24Z</dcterms:created>
  <dcterms:modified xsi:type="dcterms:W3CDTF">2026-08-24T02:03:27Z</dcterms:modified>
</cp:coreProperties>
</file>